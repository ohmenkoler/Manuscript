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456" activeTab="2"/>
  </bookViews>
  <sheets>
    <sheet name="1er montage" sheetId="1" r:id="rId1"/>
    <sheet name="2eme montage" sheetId="3" r:id="rId2"/>
    <sheet name="3ème montag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4" l="1"/>
  <c r="D13" i="4"/>
  <c r="D12" i="4" l="1"/>
  <c r="D11" i="4"/>
  <c r="D9" i="4" l="1"/>
  <c r="D2" i="4"/>
  <c r="D8" i="4" l="1"/>
  <c r="D6" i="4"/>
  <c r="D5" i="4" l="1"/>
  <c r="D3" i="4"/>
  <c r="D4" i="4"/>
  <c r="H14" i="3" l="1"/>
  <c r="H11" i="3" l="1"/>
  <c r="H9" i="3" l="1"/>
  <c r="H8" i="3" l="1"/>
  <c r="H7" i="3" l="1"/>
  <c r="H6" i="3" l="1"/>
  <c r="H5" i="3" l="1"/>
  <c r="H4" i="3" l="1"/>
  <c r="H3" i="3" l="1"/>
  <c r="H2" i="3"/>
</calcChain>
</file>

<file path=xl/sharedStrings.xml><?xml version="1.0" encoding="utf-8"?>
<sst xmlns="http://schemas.openxmlformats.org/spreadsheetml/2006/main" count="29" uniqueCount="19">
  <si>
    <t>date</t>
  </si>
  <si>
    <t>pressure (bar)</t>
  </si>
  <si>
    <t>time (days)</t>
  </si>
  <si>
    <t>13 experiments here (2 hours)</t>
  </si>
  <si>
    <t>5 experiments here ( 1 hour)</t>
  </si>
  <si>
    <t>30 expeiments</t>
  </si>
  <si>
    <t>17 experiments</t>
  </si>
  <si>
    <t>5 expeiments</t>
  </si>
  <si>
    <t>Date</t>
  </si>
  <si>
    <t>Pressure (bar)</t>
  </si>
  <si>
    <t>Time (days since draining)</t>
  </si>
  <si>
    <t>31 exp</t>
  </si>
  <si>
    <t>gas type</t>
  </si>
  <si>
    <t>0,7He 0,3Ar</t>
  </si>
  <si>
    <t>0,7He 0,3Ar (rotated 90° sideways)</t>
  </si>
  <si>
    <t>Refill (after opening + feedthrough change)</t>
  </si>
  <si>
    <t>Refill for new manips</t>
  </si>
  <si>
    <t>Change the HP feedthrough</t>
  </si>
  <si>
    <t>Refill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</si>
</sst>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'1er montage'!$C$2:$C$27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'1er montage'!$B$2:$B$27</c:f>
              <c:numCache>
                <c:formatCode>General</c:formatCode>
                <c:ptCount val="26"/>
                <c:pt idx="0">
                  <c:v>40</c:v>
                </c:pt>
                <c:pt idx="1">
                  <c:v>39.450000000000003</c:v>
                </c:pt>
                <c:pt idx="2">
                  <c:v>38.799999999999997</c:v>
                </c:pt>
                <c:pt idx="3">
                  <c:v>37.9</c:v>
                </c:pt>
                <c:pt idx="7">
                  <c:v>34.35</c:v>
                </c:pt>
                <c:pt idx="8">
                  <c:v>33.299999999999997</c:v>
                </c:pt>
                <c:pt idx="9">
                  <c:v>32.15</c:v>
                </c:pt>
                <c:pt idx="10">
                  <c:v>31.4</c:v>
                </c:pt>
                <c:pt idx="11">
                  <c:v>30.6</c:v>
                </c:pt>
                <c:pt idx="14">
                  <c:v>29.06</c:v>
                </c:pt>
                <c:pt idx="15">
                  <c:v>28.3</c:v>
                </c:pt>
                <c:pt idx="16">
                  <c:v>27.75</c:v>
                </c:pt>
                <c:pt idx="17">
                  <c:v>27.2</c:v>
                </c:pt>
                <c:pt idx="18">
                  <c:v>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BC-4EAD-A93F-F21FF3ABE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2272"/>
        <c:axId val="202714896"/>
      </c:scatterChart>
      <c:valAx>
        <c:axId val="20271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time,</a:t>
                </a:r>
                <a:r>
                  <a:rPr lang="fr-FR" baseline="0"/>
                  <a:t>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714896"/>
        <c:crosses val="autoZero"/>
        <c:crossBetween val="midCat"/>
      </c:valAx>
      <c:valAx>
        <c:axId val="202714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(bar)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71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8645088284748291E-2"/>
          <c:y val="0.11625137125842346"/>
          <c:w val="0.69513396113920756"/>
          <c:h val="0.7445751227499947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'2eme montage'!$C$2:$C$27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'2eme montage'!$B$2:$B$27</c:f>
              <c:numCache>
                <c:formatCode>General</c:formatCode>
                <c:ptCount val="26"/>
                <c:pt idx="0">
                  <c:v>40.049999999999997</c:v>
                </c:pt>
                <c:pt idx="1">
                  <c:v>39.93</c:v>
                </c:pt>
                <c:pt idx="4">
                  <c:v>39.39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45-4962-9D45-EC4B705E406F}"/>
            </c:ext>
          </c:extLst>
        </c:ser>
        <c:ser>
          <c:idx val="1"/>
          <c:order val="1"/>
          <c:tx>
            <c:v>Série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'2eme montage'!$H$2:$H$13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14</c:v>
                </c:pt>
                <c:pt idx="4">
                  <c:v>21</c:v>
                </c:pt>
                <c:pt idx="5">
                  <c:v>27</c:v>
                </c:pt>
                <c:pt idx="6">
                  <c:v>29</c:v>
                </c:pt>
                <c:pt idx="7">
                  <c:v>48</c:v>
                </c:pt>
                <c:pt idx="9">
                  <c:v>0</c:v>
                </c:pt>
              </c:numCache>
            </c:numRef>
          </c:xVal>
          <c:yVal>
            <c:numRef>
              <c:f>'2eme montage'!$G$2:$G$9</c:f>
              <c:numCache>
                <c:formatCode>General</c:formatCode>
                <c:ptCount val="8"/>
                <c:pt idx="0">
                  <c:v>39.799999999999997</c:v>
                </c:pt>
                <c:pt idx="1">
                  <c:v>39.200000000000003</c:v>
                </c:pt>
                <c:pt idx="2">
                  <c:v>38.49</c:v>
                </c:pt>
                <c:pt idx="3">
                  <c:v>37.630000000000003</c:v>
                </c:pt>
                <c:pt idx="4">
                  <c:v>36.590000000000003</c:v>
                </c:pt>
                <c:pt idx="5">
                  <c:v>35.770000000000003</c:v>
                </c:pt>
                <c:pt idx="6">
                  <c:v>35.549999999999997</c:v>
                </c:pt>
                <c:pt idx="7">
                  <c:v>33.53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45-4962-9D45-EC4B705E406F}"/>
            </c:ext>
          </c:extLst>
        </c:ser>
        <c:ser>
          <c:idx val="4"/>
          <c:order val="4"/>
          <c:tx>
            <c:v>nov-23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'3ème montage'!$D$2:$D$13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20</c:v>
                </c:pt>
                <c:pt idx="4">
                  <c:v>41</c:v>
                </c:pt>
                <c:pt idx="6">
                  <c:v>0</c:v>
                </c:pt>
                <c:pt idx="7">
                  <c:v>14</c:v>
                </c:pt>
                <c:pt idx="9">
                  <c:v>0</c:v>
                </c:pt>
                <c:pt idx="10">
                  <c:v>20</c:v>
                </c:pt>
                <c:pt idx="11">
                  <c:v>35</c:v>
                </c:pt>
              </c:numCache>
            </c:numRef>
          </c:xVal>
          <c:yVal>
            <c:numRef>
              <c:f>'3ème montage'!$C$2:$C$13</c:f>
              <c:numCache>
                <c:formatCode>General</c:formatCode>
                <c:ptCount val="12"/>
                <c:pt idx="0">
                  <c:v>40.200000000000003</c:v>
                </c:pt>
                <c:pt idx="1">
                  <c:v>39.5</c:v>
                </c:pt>
                <c:pt idx="2">
                  <c:v>39.15</c:v>
                </c:pt>
                <c:pt idx="3">
                  <c:v>38.15</c:v>
                </c:pt>
                <c:pt idx="4">
                  <c:v>37.9</c:v>
                </c:pt>
                <c:pt idx="6">
                  <c:v>40</c:v>
                </c:pt>
                <c:pt idx="7">
                  <c:v>39.4</c:v>
                </c:pt>
                <c:pt idx="9">
                  <c:v>40</c:v>
                </c:pt>
                <c:pt idx="10">
                  <c:v>37.200000000000003</c:v>
                </c:pt>
                <c:pt idx="11">
                  <c:v>38.9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45-4962-9D45-EC4B705E406F}"/>
            </c:ext>
          </c:extLst>
        </c:ser>
        <c:ser>
          <c:idx val="5"/>
          <c:order val="5"/>
          <c:tx>
            <c:v>24-janv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'3ème montage'!$D$8:$D$9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xVal>
          <c:yVal>
            <c:numRef>
              <c:f>'3ème montage'!$C$8:$C$9</c:f>
              <c:numCache>
                <c:formatCode>General</c:formatCode>
                <c:ptCount val="2"/>
                <c:pt idx="0">
                  <c:v>40</c:v>
                </c:pt>
                <c:pt idx="1">
                  <c:v>39.4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D9-49BB-AF1A-2A8321FD1662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'3ème montage'!$D$11:$D$13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35</c:v>
                </c:pt>
              </c:numCache>
            </c:numRef>
          </c:xVal>
          <c:yVal>
            <c:numRef>
              <c:f>'3ème montage'!$C$11:$C$13</c:f>
              <c:numCache>
                <c:formatCode>General</c:formatCode>
                <c:ptCount val="3"/>
                <c:pt idx="0">
                  <c:v>40</c:v>
                </c:pt>
                <c:pt idx="1">
                  <c:v>37.200000000000003</c:v>
                </c:pt>
                <c:pt idx="2">
                  <c:v>38.9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32-4BBF-89E8-959E9EF56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2272"/>
        <c:axId val="20271489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25400" cap="rnd">
                    <a:solidFill>
                      <a:schemeClr val="bg1">
                        <a:lumMod val="5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'2eme montage'!$C$28:$C$35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6</c:v>
                      </c:pt>
                      <c:pt idx="3">
                        <c:v>7</c:v>
                      </c:pt>
                      <c:pt idx="4">
                        <c:v>9</c:v>
                      </c:pt>
                      <c:pt idx="5">
                        <c:v>16</c:v>
                      </c:pt>
                      <c:pt idx="6">
                        <c:v>17</c:v>
                      </c:pt>
                      <c:pt idx="7">
                        <c:v>29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'2eme montage'!$B$28:$B$35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40</c:v>
                      </c:pt>
                      <c:pt idx="1">
                        <c:v>39.51</c:v>
                      </c:pt>
                      <c:pt idx="2">
                        <c:v>38.840000000000003</c:v>
                      </c:pt>
                      <c:pt idx="3">
                        <c:v>38.68</c:v>
                      </c:pt>
                      <c:pt idx="4">
                        <c:v>38.07</c:v>
                      </c:pt>
                      <c:pt idx="5">
                        <c:v>37.75</c:v>
                      </c:pt>
                      <c:pt idx="6">
                        <c:v>37.57</c:v>
                      </c:pt>
                      <c:pt idx="7">
                        <c:v>36.18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A045-4962-9D45-EC4B705E406F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25400" cap="rnd">
                    <a:solidFill>
                      <a:schemeClr val="accent4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'2eme montage'!$C$37:$C$43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28</c:v>
                      </c:pt>
                      <c:pt idx="6">
                        <c:v>63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'2eme montage'!$B$37:$B$43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39.950000000000003</c:v>
                      </c:pt>
                      <c:pt idx="1">
                        <c:v>39.93</c:v>
                      </c:pt>
                      <c:pt idx="2">
                        <c:v>39.69</c:v>
                      </c:pt>
                      <c:pt idx="3">
                        <c:v>38.799999999999997</c:v>
                      </c:pt>
                      <c:pt idx="4">
                        <c:v>38.700000000000003</c:v>
                      </c:pt>
                      <c:pt idx="5">
                        <c:v>36</c:v>
                      </c:pt>
                      <c:pt idx="6">
                        <c:v>32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045-4962-9D45-EC4B705E406F}"/>
                  </c:ext>
                </c:extLst>
              </c15:ser>
            </c15:filteredScatterSeries>
          </c:ext>
        </c:extLst>
      </c:scatterChart>
      <c:valAx>
        <c:axId val="20271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time,</a:t>
                </a:r>
                <a:r>
                  <a:rPr lang="fr-FR" baseline="0"/>
                  <a:t> 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714896"/>
        <c:crosses val="autoZero"/>
        <c:crossBetween val="midCat"/>
      </c:valAx>
      <c:valAx>
        <c:axId val="202714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(bar)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712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0</xdr:row>
      <xdr:rowOff>114299</xdr:rowOff>
    </xdr:from>
    <xdr:to>
      <xdr:col>17</xdr:col>
      <xdr:colOff>590549</xdr:colOff>
      <xdr:row>22</xdr:row>
      <xdr:rowOff>142874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670560</xdr:colOff>
      <xdr:row>3</xdr:row>
      <xdr:rowOff>106680</xdr:rowOff>
    </xdr:from>
    <xdr:to>
      <xdr:col>15</xdr:col>
      <xdr:colOff>440055</xdr:colOff>
      <xdr:row>25</xdr:row>
      <xdr:rowOff>135255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opLeftCell="A5" workbookViewId="0">
      <selection activeCell="E16" sqref="E16"/>
    </sheetView>
  </sheetViews>
  <sheetFormatPr baseColWidth="10" defaultColWidth="9.109375" defaultRowHeight="14.4" x14ac:dyDescent="0.3"/>
  <cols>
    <col min="1" max="1" width="10.6640625" bestFit="1" customWidth="1"/>
    <col min="2" max="2" width="13.4414062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43794</v>
      </c>
      <c r="B2">
        <v>40</v>
      </c>
      <c r="C2">
        <v>0</v>
      </c>
    </row>
    <row r="3" spans="1:3" x14ac:dyDescent="0.3">
      <c r="A3" s="1">
        <v>43795</v>
      </c>
      <c r="B3">
        <v>39.450000000000003</v>
      </c>
      <c r="C3">
        <v>1</v>
      </c>
    </row>
    <row r="4" spans="1:3" x14ac:dyDescent="0.3">
      <c r="A4" s="1">
        <v>43796</v>
      </c>
      <c r="B4">
        <v>38.799999999999997</v>
      </c>
      <c r="C4">
        <v>2</v>
      </c>
    </row>
    <row r="5" spans="1:3" x14ac:dyDescent="0.3">
      <c r="A5" s="1">
        <v>43797</v>
      </c>
      <c r="B5">
        <v>37.9</v>
      </c>
      <c r="C5">
        <v>3</v>
      </c>
    </row>
    <row r="6" spans="1:3" x14ac:dyDescent="0.3">
      <c r="A6" s="1">
        <v>43798</v>
      </c>
      <c r="C6">
        <v>4</v>
      </c>
    </row>
    <row r="7" spans="1:3" x14ac:dyDescent="0.3">
      <c r="A7" s="1">
        <v>43799</v>
      </c>
      <c r="C7">
        <v>5</v>
      </c>
    </row>
    <row r="8" spans="1:3" x14ac:dyDescent="0.3">
      <c r="A8" s="1">
        <v>43800</v>
      </c>
      <c r="C8">
        <v>6</v>
      </c>
    </row>
    <row r="9" spans="1:3" x14ac:dyDescent="0.3">
      <c r="A9" s="1">
        <v>43801</v>
      </c>
      <c r="B9">
        <v>34.35</v>
      </c>
      <c r="C9">
        <v>7</v>
      </c>
    </row>
    <row r="10" spans="1:3" x14ac:dyDescent="0.3">
      <c r="A10" s="1">
        <v>43802</v>
      </c>
      <c r="B10">
        <v>33.299999999999997</v>
      </c>
      <c r="C10">
        <v>8</v>
      </c>
    </row>
    <row r="11" spans="1:3" x14ac:dyDescent="0.3">
      <c r="A11" s="1">
        <v>43803</v>
      </c>
      <c r="B11">
        <v>32.15</v>
      </c>
      <c r="C11">
        <v>9</v>
      </c>
    </row>
    <row r="12" spans="1:3" x14ac:dyDescent="0.3">
      <c r="A12" s="1">
        <v>43804</v>
      </c>
      <c r="B12">
        <v>31.4</v>
      </c>
      <c r="C12">
        <v>10</v>
      </c>
    </row>
    <row r="13" spans="1:3" x14ac:dyDescent="0.3">
      <c r="A13" s="1">
        <v>43805</v>
      </c>
      <c r="B13">
        <v>30.6</v>
      </c>
      <c r="C13">
        <v>11</v>
      </c>
    </row>
    <row r="14" spans="1:3" x14ac:dyDescent="0.3">
      <c r="A14" s="1">
        <v>43806</v>
      </c>
      <c r="C14">
        <v>12</v>
      </c>
    </row>
    <row r="15" spans="1:3" x14ac:dyDescent="0.3">
      <c r="A15" s="1">
        <v>43807</v>
      </c>
      <c r="C15">
        <v>13</v>
      </c>
    </row>
    <row r="16" spans="1:3" x14ac:dyDescent="0.3">
      <c r="A16" s="1">
        <v>43808</v>
      </c>
      <c r="B16">
        <v>29.06</v>
      </c>
      <c r="C16">
        <v>14</v>
      </c>
    </row>
    <row r="17" spans="1:3" x14ac:dyDescent="0.3">
      <c r="A17" s="1">
        <v>43809</v>
      </c>
      <c r="B17">
        <v>28.3</v>
      </c>
      <c r="C17">
        <v>15</v>
      </c>
    </row>
    <row r="18" spans="1:3" x14ac:dyDescent="0.3">
      <c r="A18" s="1">
        <v>43810</v>
      </c>
      <c r="B18">
        <v>27.75</v>
      </c>
      <c r="C18">
        <v>16</v>
      </c>
    </row>
    <row r="19" spans="1:3" x14ac:dyDescent="0.3">
      <c r="A19" s="1">
        <v>43811</v>
      </c>
      <c r="B19">
        <v>27.2</v>
      </c>
      <c r="C19">
        <v>17</v>
      </c>
    </row>
    <row r="20" spans="1:3" x14ac:dyDescent="0.3">
      <c r="A20" s="1">
        <v>43812</v>
      </c>
      <c r="B20">
        <v>26.8</v>
      </c>
      <c r="C20">
        <v>18</v>
      </c>
    </row>
    <row r="21" spans="1:3" x14ac:dyDescent="0.3">
      <c r="A21" s="1">
        <v>43813</v>
      </c>
      <c r="C21">
        <v>19</v>
      </c>
    </row>
    <row r="22" spans="1:3" x14ac:dyDescent="0.3">
      <c r="A22" s="1">
        <v>43814</v>
      </c>
      <c r="C22">
        <v>20</v>
      </c>
    </row>
    <row r="23" spans="1:3" x14ac:dyDescent="0.3">
      <c r="A23" s="1">
        <v>43815</v>
      </c>
      <c r="C23">
        <v>21</v>
      </c>
    </row>
    <row r="24" spans="1:3" x14ac:dyDescent="0.3">
      <c r="A24" s="1">
        <v>43816</v>
      </c>
      <c r="C24">
        <v>22</v>
      </c>
    </row>
    <row r="25" spans="1:3" x14ac:dyDescent="0.3">
      <c r="A25" s="1">
        <v>43817</v>
      </c>
      <c r="C25">
        <v>23</v>
      </c>
    </row>
    <row r="26" spans="1:3" x14ac:dyDescent="0.3">
      <c r="A26" s="1">
        <v>43818</v>
      </c>
      <c r="C26">
        <v>24</v>
      </c>
    </row>
    <row r="27" spans="1:3" x14ac:dyDescent="0.3">
      <c r="A27" s="1">
        <v>43819</v>
      </c>
      <c r="C27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selection activeCell="G17" sqref="G17"/>
    </sheetView>
  </sheetViews>
  <sheetFormatPr baseColWidth="10" defaultColWidth="9.109375" defaultRowHeight="14.4" x14ac:dyDescent="0.3"/>
  <cols>
    <col min="1" max="1" width="10.6640625" bestFit="1" customWidth="1"/>
    <col min="2" max="2" width="13.44140625" bestFit="1" customWidth="1"/>
    <col min="3" max="3" width="11" bestFit="1" customWidth="1"/>
    <col min="4" max="4" width="25.33203125" bestFit="1" customWidth="1"/>
    <col min="5" max="5" width="36.109375" bestFit="1" customWidth="1"/>
    <col min="6" max="6" width="12.109375" customWidth="1"/>
    <col min="7" max="7" width="12.109375" bestFit="1" customWidth="1"/>
    <col min="8" max="8" width="21.88671875" bestFit="1" customWidth="1"/>
    <col min="9" max="9" width="29.21875" bestFit="1" customWidth="1"/>
  </cols>
  <sheetData>
    <row r="1" spans="1:9" x14ac:dyDescent="0.3">
      <c r="A1" t="s">
        <v>0</v>
      </c>
      <c r="B1" t="s">
        <v>1</v>
      </c>
      <c r="C1" t="s">
        <v>2</v>
      </c>
      <c r="F1" t="s">
        <v>8</v>
      </c>
      <c r="G1" t="s">
        <v>9</v>
      </c>
      <c r="H1" t="s">
        <v>10</v>
      </c>
      <c r="I1" t="s">
        <v>12</v>
      </c>
    </row>
    <row r="2" spans="1:9" x14ac:dyDescent="0.3">
      <c r="A2" s="1">
        <v>43818</v>
      </c>
      <c r="B2">
        <v>40.049999999999997</v>
      </c>
      <c r="C2">
        <v>0</v>
      </c>
      <c r="F2" s="1">
        <v>44622</v>
      </c>
      <c r="G2">
        <v>39.799999999999997</v>
      </c>
      <c r="H2">
        <f t="shared" ref="H2:H9" si="0">F2-$F$2</f>
        <v>0</v>
      </c>
      <c r="I2" t="s">
        <v>13</v>
      </c>
    </row>
    <row r="3" spans="1:9" x14ac:dyDescent="0.3">
      <c r="A3" s="1">
        <v>43819</v>
      </c>
      <c r="B3">
        <v>39.93</v>
      </c>
      <c r="C3">
        <v>1</v>
      </c>
      <c r="F3" s="1">
        <v>44623</v>
      </c>
      <c r="G3">
        <v>39.200000000000003</v>
      </c>
      <c r="H3">
        <f t="shared" si="0"/>
        <v>1</v>
      </c>
    </row>
    <row r="4" spans="1:9" x14ac:dyDescent="0.3">
      <c r="A4" s="1">
        <v>43820</v>
      </c>
      <c r="C4">
        <v>2</v>
      </c>
      <c r="F4" s="1">
        <v>44627</v>
      </c>
      <c r="G4">
        <v>38.49</v>
      </c>
      <c r="H4">
        <f t="shared" si="0"/>
        <v>5</v>
      </c>
    </row>
    <row r="5" spans="1:9" x14ac:dyDescent="0.3">
      <c r="A5" s="1">
        <v>43821</v>
      </c>
      <c r="C5">
        <v>3</v>
      </c>
      <c r="F5" s="1">
        <v>44636</v>
      </c>
      <c r="G5">
        <v>37.630000000000003</v>
      </c>
      <c r="H5">
        <f t="shared" si="0"/>
        <v>14</v>
      </c>
    </row>
    <row r="6" spans="1:9" x14ac:dyDescent="0.3">
      <c r="A6" s="1">
        <v>43822</v>
      </c>
      <c r="B6">
        <v>39.39</v>
      </c>
      <c r="C6">
        <v>4</v>
      </c>
      <c r="F6" s="1">
        <v>44643</v>
      </c>
      <c r="G6">
        <v>36.590000000000003</v>
      </c>
      <c r="H6">
        <f t="shared" si="0"/>
        <v>21</v>
      </c>
    </row>
    <row r="7" spans="1:9" x14ac:dyDescent="0.3">
      <c r="A7" s="1">
        <v>43823</v>
      </c>
      <c r="C7">
        <v>5</v>
      </c>
      <c r="F7" s="1">
        <v>44649</v>
      </c>
      <c r="G7">
        <v>35.770000000000003</v>
      </c>
      <c r="H7">
        <f t="shared" si="0"/>
        <v>27</v>
      </c>
    </row>
    <row r="8" spans="1:9" x14ac:dyDescent="0.3">
      <c r="A8" s="1">
        <v>43824</v>
      </c>
      <c r="C8">
        <v>6</v>
      </c>
      <c r="F8" s="1">
        <v>44651</v>
      </c>
      <c r="G8">
        <v>35.549999999999997</v>
      </c>
      <c r="H8">
        <f t="shared" si="0"/>
        <v>29</v>
      </c>
    </row>
    <row r="9" spans="1:9" x14ac:dyDescent="0.3">
      <c r="A9" s="1">
        <v>43825</v>
      </c>
      <c r="C9">
        <v>7</v>
      </c>
      <c r="F9" s="1">
        <v>44670</v>
      </c>
      <c r="G9">
        <v>33.53</v>
      </c>
      <c r="H9">
        <f t="shared" si="0"/>
        <v>48</v>
      </c>
    </row>
    <row r="10" spans="1:9" x14ac:dyDescent="0.3">
      <c r="A10" s="1">
        <v>43826</v>
      </c>
      <c r="C10">
        <v>8</v>
      </c>
    </row>
    <row r="11" spans="1:9" x14ac:dyDescent="0.3">
      <c r="A11" s="1">
        <v>43827</v>
      </c>
      <c r="C11">
        <v>9</v>
      </c>
      <c r="F11" s="1">
        <v>44804</v>
      </c>
      <c r="G11">
        <v>39.770000000000003</v>
      </c>
      <c r="H11">
        <f>F11-$F$11</f>
        <v>0</v>
      </c>
      <c r="I11" t="s">
        <v>13</v>
      </c>
    </row>
    <row r="12" spans="1:9" x14ac:dyDescent="0.3">
      <c r="A12" s="1">
        <v>43828</v>
      </c>
      <c r="C12">
        <v>10</v>
      </c>
      <c r="F12" s="1"/>
    </row>
    <row r="13" spans="1:9" x14ac:dyDescent="0.3">
      <c r="A13" s="1">
        <v>43829</v>
      </c>
      <c r="C13">
        <v>11</v>
      </c>
    </row>
    <row r="14" spans="1:9" x14ac:dyDescent="0.3">
      <c r="A14" s="1">
        <v>43830</v>
      </c>
      <c r="C14">
        <v>12</v>
      </c>
      <c r="F14" s="1">
        <v>44861</v>
      </c>
      <c r="G14">
        <v>39.950000000000003</v>
      </c>
      <c r="H14">
        <f>F14-$F$14</f>
        <v>0</v>
      </c>
      <c r="I14" t="s">
        <v>14</v>
      </c>
    </row>
    <row r="15" spans="1:9" x14ac:dyDescent="0.3">
      <c r="A15" s="1">
        <v>43831</v>
      </c>
      <c r="C15">
        <v>13</v>
      </c>
      <c r="F15" s="1"/>
    </row>
    <row r="16" spans="1:9" x14ac:dyDescent="0.3">
      <c r="A16" s="1">
        <v>43832</v>
      </c>
      <c r="C16">
        <v>14</v>
      </c>
      <c r="F16" s="1"/>
    </row>
    <row r="17" spans="1:6" x14ac:dyDescent="0.3">
      <c r="A17" s="1">
        <v>43833</v>
      </c>
      <c r="C17">
        <v>15</v>
      </c>
      <c r="F17" s="1"/>
    </row>
    <row r="18" spans="1:6" x14ac:dyDescent="0.3">
      <c r="A18" s="1">
        <v>43834</v>
      </c>
      <c r="C18">
        <v>16</v>
      </c>
    </row>
    <row r="19" spans="1:6" x14ac:dyDescent="0.3">
      <c r="A19" s="1">
        <v>43835</v>
      </c>
      <c r="C19">
        <v>17</v>
      </c>
    </row>
    <row r="20" spans="1:6" x14ac:dyDescent="0.3">
      <c r="A20" s="1">
        <v>43836</v>
      </c>
      <c r="C20">
        <v>18</v>
      </c>
    </row>
    <row r="21" spans="1:6" x14ac:dyDescent="0.3">
      <c r="A21" s="1">
        <v>43837</v>
      </c>
      <c r="C21">
        <v>19</v>
      </c>
    </row>
    <row r="22" spans="1:6" x14ac:dyDescent="0.3">
      <c r="A22" s="1">
        <v>43838</v>
      </c>
      <c r="C22">
        <v>20</v>
      </c>
    </row>
    <row r="23" spans="1:6" x14ac:dyDescent="0.3">
      <c r="A23" s="1">
        <v>43839</v>
      </c>
      <c r="C23">
        <v>21</v>
      </c>
    </row>
    <row r="24" spans="1:6" x14ac:dyDescent="0.3">
      <c r="A24" s="1">
        <v>43840</v>
      </c>
      <c r="C24">
        <v>22</v>
      </c>
    </row>
    <row r="25" spans="1:6" x14ac:dyDescent="0.3">
      <c r="A25" s="1">
        <v>43841</v>
      </c>
      <c r="C25">
        <v>23</v>
      </c>
    </row>
    <row r="26" spans="1:6" x14ac:dyDescent="0.3">
      <c r="A26" s="1">
        <v>43842</v>
      </c>
      <c r="C26">
        <v>24</v>
      </c>
    </row>
    <row r="27" spans="1:6" x14ac:dyDescent="0.3">
      <c r="A27" s="1">
        <v>43843</v>
      </c>
      <c r="C27">
        <v>25</v>
      </c>
    </row>
    <row r="28" spans="1:6" x14ac:dyDescent="0.3">
      <c r="A28" s="1">
        <v>44229</v>
      </c>
      <c r="B28">
        <v>40</v>
      </c>
      <c r="C28">
        <v>0</v>
      </c>
    </row>
    <row r="29" spans="1:6" x14ac:dyDescent="0.3">
      <c r="A29" s="1">
        <v>44231</v>
      </c>
      <c r="B29">
        <v>39.51</v>
      </c>
      <c r="C29">
        <v>1</v>
      </c>
    </row>
    <row r="30" spans="1:6" x14ac:dyDescent="0.3">
      <c r="A30" s="1">
        <v>44235</v>
      </c>
      <c r="B30">
        <v>38.840000000000003</v>
      </c>
      <c r="C30">
        <v>6</v>
      </c>
    </row>
    <row r="31" spans="1:6" x14ac:dyDescent="0.3">
      <c r="A31" s="1">
        <v>44236</v>
      </c>
      <c r="B31">
        <v>38.68</v>
      </c>
      <c r="C31">
        <v>7</v>
      </c>
      <c r="D31" t="s">
        <v>3</v>
      </c>
    </row>
    <row r="32" spans="1:6" x14ac:dyDescent="0.3">
      <c r="A32" s="1">
        <v>44238</v>
      </c>
      <c r="B32">
        <v>38.07</v>
      </c>
      <c r="C32">
        <v>9</v>
      </c>
      <c r="D32" t="s">
        <v>4</v>
      </c>
    </row>
    <row r="33" spans="1:4" x14ac:dyDescent="0.3">
      <c r="A33" s="1">
        <v>44245</v>
      </c>
      <c r="B33">
        <v>37.75</v>
      </c>
      <c r="C33">
        <v>16</v>
      </c>
    </row>
    <row r="34" spans="1:4" x14ac:dyDescent="0.3">
      <c r="A34" s="1">
        <v>44246</v>
      </c>
      <c r="B34">
        <v>37.57</v>
      </c>
      <c r="C34">
        <v>17</v>
      </c>
    </row>
    <row r="35" spans="1:4" x14ac:dyDescent="0.3">
      <c r="A35" s="1">
        <v>44256</v>
      </c>
      <c r="B35">
        <v>36.18</v>
      </c>
      <c r="C35">
        <v>29</v>
      </c>
    </row>
    <row r="36" spans="1:4" x14ac:dyDescent="0.3">
      <c r="A36" s="1">
        <v>44256</v>
      </c>
      <c r="B36">
        <v>40</v>
      </c>
      <c r="C36">
        <v>0</v>
      </c>
    </row>
    <row r="37" spans="1:4" x14ac:dyDescent="0.3">
      <c r="A37" s="1">
        <v>44256</v>
      </c>
      <c r="B37">
        <v>39.950000000000003</v>
      </c>
      <c r="C37">
        <v>0</v>
      </c>
      <c r="D37" t="s">
        <v>11</v>
      </c>
    </row>
    <row r="38" spans="1:4" x14ac:dyDescent="0.3">
      <c r="A38" s="1">
        <v>44258</v>
      </c>
      <c r="B38">
        <v>39.93</v>
      </c>
      <c r="C38">
        <v>2</v>
      </c>
      <c r="D38" t="s">
        <v>5</v>
      </c>
    </row>
    <row r="39" spans="1:4" x14ac:dyDescent="0.3">
      <c r="A39" s="1">
        <v>44259</v>
      </c>
      <c r="B39">
        <v>39.69</v>
      </c>
      <c r="C39">
        <v>4</v>
      </c>
      <c r="D39" t="s">
        <v>6</v>
      </c>
    </row>
    <row r="40" spans="1:4" x14ac:dyDescent="0.3">
      <c r="A40" s="1">
        <v>44264</v>
      </c>
      <c r="B40">
        <v>38.799999999999997</v>
      </c>
      <c r="C40">
        <v>8</v>
      </c>
      <c r="D40" t="s">
        <v>7</v>
      </c>
    </row>
    <row r="41" spans="1:4" x14ac:dyDescent="0.3">
      <c r="A41" s="1">
        <v>44266</v>
      </c>
      <c r="B41">
        <v>38.700000000000003</v>
      </c>
      <c r="C41">
        <v>10</v>
      </c>
    </row>
    <row r="42" spans="1:4" x14ac:dyDescent="0.3">
      <c r="A42" s="1">
        <v>44284</v>
      </c>
      <c r="B42">
        <v>36</v>
      </c>
      <c r="C42">
        <v>28</v>
      </c>
    </row>
    <row r="43" spans="1:4" x14ac:dyDescent="0.3">
      <c r="A43" s="1">
        <v>44319</v>
      </c>
      <c r="B43">
        <v>32</v>
      </c>
      <c r="C43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D18" sqref="D18"/>
    </sheetView>
  </sheetViews>
  <sheetFormatPr baseColWidth="10" defaultRowHeight="14.4" x14ac:dyDescent="0.3"/>
  <cols>
    <col min="1" max="1" width="36.109375" bestFit="1" customWidth="1"/>
    <col min="2" max="2" width="10.5546875" bestFit="1" customWidth="1"/>
    <col min="3" max="3" width="12.109375" bestFit="1" customWidth="1"/>
    <col min="4" max="4" width="22.88671875" customWidth="1"/>
  </cols>
  <sheetData>
    <row r="1" spans="1:5" x14ac:dyDescent="0.3">
      <c r="B1" t="s">
        <v>8</v>
      </c>
      <c r="C1" t="s">
        <v>9</v>
      </c>
      <c r="D1" t="s">
        <v>10</v>
      </c>
      <c r="E1" t="s">
        <v>12</v>
      </c>
    </row>
    <row r="2" spans="1:5" x14ac:dyDescent="0.3">
      <c r="A2" t="s">
        <v>15</v>
      </c>
      <c r="B2" s="1">
        <v>45260</v>
      </c>
      <c r="C2">
        <v>40.200000000000003</v>
      </c>
      <c r="D2">
        <f>B2-$B$2</f>
        <v>0</v>
      </c>
      <c r="E2" t="s">
        <v>13</v>
      </c>
    </row>
    <row r="3" spans="1:5" x14ac:dyDescent="0.3">
      <c r="B3" s="1">
        <v>45264</v>
      </c>
      <c r="C3">
        <v>39.5</v>
      </c>
      <c r="D3">
        <f t="shared" ref="D3:D6" si="0">B3-$B$2</f>
        <v>4</v>
      </c>
    </row>
    <row r="4" spans="1:5" x14ac:dyDescent="0.3">
      <c r="B4" s="1">
        <v>45271</v>
      </c>
      <c r="C4">
        <v>39.15</v>
      </c>
      <c r="D4">
        <f t="shared" si="0"/>
        <v>11</v>
      </c>
    </row>
    <row r="5" spans="1:5" x14ac:dyDescent="0.3">
      <c r="B5" s="1">
        <v>45280</v>
      </c>
      <c r="C5">
        <v>38.15</v>
      </c>
      <c r="D5">
        <f t="shared" si="0"/>
        <v>20</v>
      </c>
    </row>
    <row r="6" spans="1:5" x14ac:dyDescent="0.3">
      <c r="B6" s="1">
        <v>45301</v>
      </c>
      <c r="C6">
        <v>37.9</v>
      </c>
      <c r="D6">
        <f t="shared" si="0"/>
        <v>41</v>
      </c>
    </row>
    <row r="8" spans="1:5" x14ac:dyDescent="0.3">
      <c r="A8" t="s">
        <v>16</v>
      </c>
      <c r="B8" s="1">
        <v>45301</v>
      </c>
      <c r="C8">
        <v>40</v>
      </c>
      <c r="D8">
        <f>B8-$B$8</f>
        <v>0</v>
      </c>
      <c r="E8" t="s">
        <v>13</v>
      </c>
    </row>
    <row r="9" spans="1:5" x14ac:dyDescent="0.3">
      <c r="B9" s="1">
        <v>45315</v>
      </c>
      <c r="C9">
        <v>39.4</v>
      </c>
      <c r="D9">
        <f>B9-$B$8</f>
        <v>14</v>
      </c>
    </row>
    <row r="11" spans="1:5" x14ac:dyDescent="0.3">
      <c r="A11" t="s">
        <v>17</v>
      </c>
      <c r="B11" s="1">
        <v>45329</v>
      </c>
      <c r="C11">
        <v>40</v>
      </c>
      <c r="D11">
        <f>B11-$B$11</f>
        <v>0</v>
      </c>
    </row>
    <row r="12" spans="1:5" x14ac:dyDescent="0.3">
      <c r="B12" s="1">
        <v>45349</v>
      </c>
      <c r="C12">
        <v>37.200000000000003</v>
      </c>
      <c r="D12">
        <f>B12-$B$11</f>
        <v>20</v>
      </c>
    </row>
    <row r="13" spans="1:5" x14ac:dyDescent="0.3">
      <c r="B13" s="1">
        <v>45364</v>
      </c>
      <c r="C13">
        <v>38.9</v>
      </c>
      <c r="D13">
        <f>B13-$B$11</f>
        <v>35</v>
      </c>
    </row>
    <row r="15" spans="1:5" x14ac:dyDescent="0.3">
      <c r="A15" t="s">
        <v>18</v>
      </c>
      <c r="B15" s="1">
        <v>45364</v>
      </c>
      <c r="C15">
        <v>40</v>
      </c>
      <c r="D15">
        <f>B15-$B$15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1er montage</vt:lpstr>
      <vt:lpstr>2eme montage</vt:lpstr>
      <vt:lpstr>3ème montage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2024-03-13T14:20:58Z</dcterms:modified>
</cp:coreProperties>
</file>